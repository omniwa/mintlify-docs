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6F23338-70BB-4853-82DC-B3E4E1B7AF19}" xr6:coauthVersionLast="47" xr6:coauthVersionMax="47" xr10:uidLastSave="{00000000-0000-0000-0000-000000000000}"/>
  <bookViews>
    <workbookView xWindow="1170" yWindow="765" windowWidth="14985" windowHeight="147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B29" i="1"/>
  <c r="B30" i="1" l="1"/>
  <c r="B28" i="1"/>
  <c r="H14" i="1" l="1"/>
  <c r="H13" i="1"/>
  <c r="H15" i="1" s="1"/>
  <c r="H17" i="1" s="1"/>
</calcChain>
</file>

<file path=xl/sharedStrings.xml><?xml version="1.0" encoding="utf-8"?>
<sst xmlns="http://schemas.openxmlformats.org/spreadsheetml/2006/main" count="40" uniqueCount="36">
  <si>
    <t xml:space="preserve">ฝ่าย    </t>
  </si>
  <si>
    <t xml:space="preserve">แผนก    </t>
  </si>
  <si>
    <t xml:space="preserve">หน่วยงาน              </t>
  </si>
  <si>
    <t>รหัสบัญชี/แผนก ชื่อบัญชี</t>
  </si>
  <si>
    <t>ยอดยกมา</t>
  </si>
  <si>
    <t>รายการระหว่างงวด</t>
  </si>
  <si>
    <t>ยอดยกไป</t>
  </si>
  <si>
    <t>Debit</t>
  </si>
  <si>
    <t>Credit</t>
  </si>
  <si>
    <t>11110201  บัญชีออมทรัพย์เพื่อการชำระราคา-THB</t>
  </si>
  <si>
    <t>11510105  หุ้นสามัญ-บริษัททั่วไป</t>
  </si>
  <si>
    <t>12110201  ดอกเบี้ยค้างรับ-ออมทรัพย์</t>
  </si>
  <si>
    <t>13510105  เงินปันผลค้างรับ-หุ้นสามัญ-บริษัททั่วไป</t>
  </si>
  <si>
    <t>15510105  ค่าเผื่อการตีราคาหลักทรัพย์-หุ้นสามัญ-บริษัททั่วไป</t>
  </si>
  <si>
    <t>21010100  ค่าจัดการกองทุนค้างจ่าย</t>
  </si>
  <si>
    <t>21010300  ค่าธรรมเนียมผู้ดูแลทรัพย์สินค้างจ่าย</t>
  </si>
  <si>
    <t>22010100  ค่าซื้อหลักทรัพย์ค้างจ่าย</t>
  </si>
  <si>
    <t>31010100  มูลค่าหน่วยลงทุนราคาพาร์</t>
  </si>
  <si>
    <t>31010200  ส่วนปรับสมดุล</t>
  </si>
  <si>
    <t>39919101  กำไรสะสมที่เกิดขึ้นแล้ว-ระหว่างปี</t>
  </si>
  <si>
    <t>41011102  ดอกเบี้ยรับ-ออมทรัพย์</t>
  </si>
  <si>
    <t>41025101  เงินปันผลรับ-หุ้นสามัญ</t>
  </si>
  <si>
    <t>41215101  กำไร (ขาดทุน)จากการซื้อขาย-หุ้นสามัญ</t>
  </si>
  <si>
    <t>41315101  กำไร (ขาดทุน)ที่ยังไม่เกิดขึ้นจากการตีราคา-หุ้นสามัญ</t>
  </si>
  <si>
    <t>51010100  ค่าจัดการกองทุน</t>
  </si>
  <si>
    <t>51010300  ค่าธรรมเนียมผู้ดูแลทรัพย์สิน</t>
  </si>
  <si>
    <t>51010600  ค่านายหน้าจากการซื้อขายหลักทรัพย์</t>
  </si>
  <si>
    <t xml:space="preserve">**** รวม </t>
  </si>
  <si>
    <t xml:space="preserve">********* สรุปกำไร/ขาดทุน </t>
  </si>
  <si>
    <t>Realized Ganis/Losses</t>
  </si>
  <si>
    <t>Unrealized Ganis/Losses</t>
  </si>
  <si>
    <t>NAV</t>
  </si>
  <si>
    <t>Period</t>
  </si>
  <si>
    <t>Accumulated</t>
  </si>
  <si>
    <t>งบทดลองรายเดือน ประจำงวดที่0 31 มกราคม 2569</t>
  </si>
  <si>
    <t>INNO_X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</si>
</sst>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0" fillId="0" borderId="1" xfId="1" applyFont="1" applyBorder="1" applyAlignment="1">
      <alignment horizontal="center"/>
    </xf>
    <xf numFmtId="43" fontId="0" fillId="0" borderId="1" xfId="1" applyFont="1" applyBorder="1"/>
    <xf numFmtId="0" fontId="1" fillId="0" borderId="1" xfId="0" applyFont="1" applyBorder="1" applyAlignment="1">
      <alignment horizontal="center"/>
    </xf>
    <xf numFmtId="43" fontId="1" fillId="0" borderId="1" xfId="1" applyFont="1" applyFill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20" zoomScaleNormal="120" workbookViewId="0">
      <selection activeCell="C1" sqref="C1"/>
    </sheetView>
  </sheetViews>
  <sheetFormatPr defaultRowHeight="14.25" x14ac:dyDescent="0.2"/>
  <cols>
    <col min="1" max="1" width="58.25" style="1" bestFit="1" customWidth="1"/>
    <col min="2" max="3" width="15.75" style="1" bestFit="1" customWidth="1"/>
    <col min="4" max="4" width="19.125" style="1" bestFit="1" customWidth="1"/>
    <col min="5" max="8" width="15.75" style="1" bestFit="1" customWidth="1"/>
  </cols>
  <sheetData>
    <row r="1" spans="1:8" x14ac:dyDescent="0.2">
      <c r="A1" s="3" t="s">
        <v>34</v>
      </c>
      <c r="B1" s="3"/>
      <c r="C1" s="3" t="s">
        <v>35</v>
      </c>
      <c r="D1" s="3"/>
      <c r="E1" s="3"/>
      <c r="F1" s="3"/>
      <c r="G1" s="3"/>
    </row>
    <row r="2" spans="1:8" x14ac:dyDescent="0.2">
      <c r="A2" s="3" t="s">
        <v>0</v>
      </c>
      <c r="B2" s="3"/>
      <c r="C2" s="3"/>
      <c r="D2" s="3"/>
      <c r="E2" s="3"/>
      <c r="F2" s="3"/>
      <c r="G2" s="3"/>
    </row>
    <row r="3" spans="1:8" x14ac:dyDescent="0.2">
      <c r="A3" s="3" t="s">
        <v>1</v>
      </c>
      <c r="B3" s="3"/>
      <c r="C3" s="3"/>
      <c r="D3" s="3"/>
      <c r="E3" s="3"/>
      <c r="F3" s="3"/>
      <c r="G3" s="3"/>
    </row>
    <row r="4" spans="1:8" x14ac:dyDescent="0.2">
      <c r="A4" s="3" t="s">
        <v>2</v>
      </c>
      <c r="B4" s="3"/>
      <c r="C4" s="3"/>
      <c r="D4" s="3"/>
      <c r="E4" s="3"/>
      <c r="F4" s="3"/>
      <c r="G4" s="3"/>
    </row>
    <row r="5" spans="1:8" x14ac:dyDescent="0.2">
      <c r="A5" s="3" t="s">
        <v>3</v>
      </c>
      <c r="B5" s="3" t="s">
        <v>4</v>
      </c>
      <c r="C5" s="3"/>
      <c r="D5" s="3" t="s">
        <v>5</v>
      </c>
      <c r="E5" s="3"/>
      <c r="F5" s="3" t="s">
        <v>6</v>
      </c>
      <c r="G5" s="3"/>
    </row>
    <row r="6" spans="1:8" x14ac:dyDescent="0.2">
      <c r="A6" s="3"/>
      <c r="B6" s="3" t="s">
        <v>7</v>
      </c>
      <c r="C6" s="3" t="s">
        <v>8</v>
      </c>
      <c r="D6" s="3" t="s">
        <v>7</v>
      </c>
      <c r="E6" s="3" t="s">
        <v>8</v>
      </c>
      <c r="F6" s="3" t="s">
        <v>7</v>
      </c>
      <c r="G6" s="3" t="s">
        <v>8</v>
      </c>
    </row>
    <row r="7" spans="1:8" x14ac:dyDescent="0.2">
      <c r="A7" s="3" t="s">
        <v>9</v>
      </c>
      <c r="B7" s="3">
        <v>1204556.4200000018</v>
      </c>
      <c r="C7" s="3">
        <v>0</v>
      </c>
      <c r="D7" s="3">
        <v>863170</v>
      </c>
      <c r="E7" s="3">
        <v>595257.92000000004</v>
      </c>
      <c r="F7" s="3">
        <v>1472468.5</v>
      </c>
      <c r="G7" s="3">
        <v>0</v>
      </c>
    </row>
    <row r="8" spans="1:8" x14ac:dyDescent="0.2">
      <c r="A8" s="3" t="s">
        <v>10</v>
      </c>
      <c r="B8" s="3">
        <v>102868596.78</v>
      </c>
      <c r="C8" s="3">
        <v>0</v>
      </c>
      <c r="D8" s="3">
        <v>728512.85</v>
      </c>
      <c r="E8" s="3">
        <v>0</v>
      </c>
      <c r="F8" s="3">
        <v>103597109.63</v>
      </c>
      <c r="G8" s="3">
        <v>0</v>
      </c>
    </row>
    <row r="9" spans="1:8" x14ac:dyDescent="0.2">
      <c r="A9" s="3" t="s">
        <v>11</v>
      </c>
      <c r="B9" s="3">
        <v>1457.4700000000003</v>
      </c>
      <c r="C9" s="3">
        <v>0</v>
      </c>
      <c r="D9" s="3">
        <v>412.03</v>
      </c>
      <c r="E9" s="3">
        <v>0</v>
      </c>
      <c r="F9" s="3">
        <v>1869.5</v>
      </c>
      <c r="G9" s="3">
        <v>0</v>
      </c>
    </row>
    <row r="10" spans="1:8" x14ac:dyDescent="0.2">
      <c r="A10" s="3" t="s">
        <v>12</v>
      </c>
      <c r="B10" s="3">
        <v>390770</v>
      </c>
      <c r="C10" s="3">
        <v>0</v>
      </c>
      <c r="D10" s="3">
        <v>472400</v>
      </c>
      <c r="E10" s="3">
        <v>863170</v>
      </c>
      <c r="F10" s="3">
        <v>0</v>
      </c>
      <c r="G10" s="3">
        <v>0</v>
      </c>
    </row>
    <row r="11" spans="1:8" x14ac:dyDescent="0.2">
      <c r="A11" s="3" t="s">
        <v>13</v>
      </c>
      <c r="B11" s="3">
        <v>0</v>
      </c>
      <c r="C11" s="3">
        <v>176251.77999997139</v>
      </c>
      <c r="D11" s="3">
        <v>242486444.66999999</v>
      </c>
      <c r="E11" s="3">
        <v>246036822.52000001</v>
      </c>
      <c r="F11" s="3">
        <v>0</v>
      </c>
      <c r="G11" s="3">
        <v>3726629.6300001144</v>
      </c>
    </row>
    <row r="12" spans="1:8" x14ac:dyDescent="0.2">
      <c r="A12" s="3" t="s">
        <v>14</v>
      </c>
      <c r="B12" s="3">
        <v>0</v>
      </c>
      <c r="C12" s="3">
        <v>94177.980000000447</v>
      </c>
      <c r="D12" s="3">
        <v>1376537.26</v>
      </c>
      <c r="E12" s="3">
        <v>1372458.51</v>
      </c>
      <c r="F12" s="3">
        <v>0</v>
      </c>
      <c r="G12" s="3">
        <v>90099.230000000447</v>
      </c>
    </row>
    <row r="13" spans="1:8" x14ac:dyDescent="0.2">
      <c r="A13" s="3" t="s">
        <v>15</v>
      </c>
      <c r="B13" s="3">
        <v>0</v>
      </c>
      <c r="C13" s="3">
        <v>2840.75</v>
      </c>
      <c r="D13" s="3">
        <v>41358.04</v>
      </c>
      <c r="E13" s="3">
        <v>41192.29</v>
      </c>
      <c r="F13" s="3">
        <v>0</v>
      </c>
      <c r="G13" s="3">
        <v>2675</v>
      </c>
      <c r="H13" s="1">
        <f>SUM(F7:F14)</f>
        <v>105071447.63</v>
      </c>
    </row>
    <row r="14" spans="1:8" x14ac:dyDescent="0.2">
      <c r="A14" s="3" t="s">
        <v>16</v>
      </c>
      <c r="B14" s="3">
        <v>0</v>
      </c>
      <c r="C14" s="3">
        <v>0</v>
      </c>
      <c r="D14" s="3">
        <v>411922.19</v>
      </c>
      <c r="E14" s="3">
        <v>728512.85</v>
      </c>
      <c r="F14" s="3">
        <v>0</v>
      </c>
      <c r="G14" s="3">
        <v>316590.65999999642</v>
      </c>
      <c r="H14" s="1">
        <f>SUM(G7:G14)</f>
        <v>4135994.5200001113</v>
      </c>
    </row>
    <row r="15" spans="1:8" x14ac:dyDescent="0.2">
      <c r="A15" s="3" t="s">
        <v>17</v>
      </c>
      <c r="B15" s="3">
        <v>0</v>
      </c>
      <c r="C15" s="3">
        <v>93416258.209999993</v>
      </c>
      <c r="D15" s="3">
        <v>0</v>
      </c>
      <c r="E15" s="3">
        <v>0</v>
      </c>
      <c r="F15" s="3">
        <v>0</v>
      </c>
      <c r="G15" s="3">
        <v>93416258.209999993</v>
      </c>
      <c r="H15" s="1">
        <f>+H13-H14</f>
        <v>100935453.10999988</v>
      </c>
    </row>
    <row r="16" spans="1:8" x14ac:dyDescent="0.2">
      <c r="A16" s="3" t="s">
        <v>18</v>
      </c>
      <c r="B16" s="3">
        <v>228019.71000000002</v>
      </c>
      <c r="C16" s="3">
        <v>0</v>
      </c>
      <c r="D16" s="3">
        <v>0</v>
      </c>
      <c r="E16" s="3">
        <v>0</v>
      </c>
      <c r="F16" s="3">
        <v>228019.71000000002</v>
      </c>
      <c r="G16" s="3">
        <v>0</v>
      </c>
      <c r="H16" s="1">
        <v>100935453.11</v>
      </c>
    </row>
    <row r="17" spans="1:8" x14ac:dyDescent="0.2">
      <c r="A17" s="3" t="s">
        <v>19</v>
      </c>
      <c r="B17" s="3">
        <v>0</v>
      </c>
      <c r="C17" s="3">
        <v>8209734.3200000003</v>
      </c>
      <c r="D17" s="3">
        <v>0</v>
      </c>
      <c r="E17" s="3">
        <v>0</v>
      </c>
      <c r="F17" s="3">
        <v>0</v>
      </c>
      <c r="G17" s="3">
        <v>8209734.3200000003</v>
      </c>
      <c r="H17" s="1">
        <f>+H15-H16</f>
        <v>-1.1920928955078125E-7</v>
      </c>
    </row>
    <row r="18" spans="1:8" x14ac:dyDescent="0.2">
      <c r="A18" s="3" t="s">
        <v>20</v>
      </c>
      <c r="B18" s="3">
        <v>0</v>
      </c>
      <c r="C18" s="3">
        <v>2854.9700000000003</v>
      </c>
      <c r="D18" s="3">
        <v>0</v>
      </c>
      <c r="E18" s="3">
        <v>412.03</v>
      </c>
      <c r="F18" s="3">
        <v>0</v>
      </c>
      <c r="G18" s="3">
        <v>3267</v>
      </c>
    </row>
    <row r="19" spans="1:8" x14ac:dyDescent="0.2">
      <c r="A19" s="3" t="s">
        <v>21</v>
      </c>
      <c r="B19" s="3">
        <v>0</v>
      </c>
      <c r="C19" s="3">
        <v>2629862</v>
      </c>
      <c r="D19" s="3">
        <v>86317</v>
      </c>
      <c r="E19" s="3">
        <v>472400</v>
      </c>
      <c r="F19" s="3">
        <v>0</v>
      </c>
      <c r="G19" s="3">
        <v>3015945</v>
      </c>
    </row>
    <row r="20" spans="1:8" x14ac:dyDescent="0.2">
      <c r="A20" s="3" t="s">
        <v>22</v>
      </c>
      <c r="B20" s="3">
        <v>0</v>
      </c>
      <c r="C20" s="3">
        <v>3956253.55</v>
      </c>
      <c r="D20" s="3">
        <v>0</v>
      </c>
      <c r="E20" s="3">
        <v>0</v>
      </c>
      <c r="F20" s="3">
        <v>0</v>
      </c>
      <c r="G20" s="3">
        <v>3956253.55</v>
      </c>
    </row>
    <row r="21" spans="1:8" x14ac:dyDescent="0.2">
      <c r="A21" s="3" t="s">
        <v>23</v>
      </c>
      <c r="B21" s="3">
        <v>3025436.8499999046</v>
      </c>
      <c r="C21" s="3">
        <v>0</v>
      </c>
      <c r="D21" s="3">
        <v>246036822.52000001</v>
      </c>
      <c r="E21" s="3">
        <v>242486444.66999999</v>
      </c>
      <c r="F21" s="3">
        <v>6575814.6999998093</v>
      </c>
      <c r="G21" s="3">
        <v>0</v>
      </c>
    </row>
    <row r="22" spans="1:8" x14ac:dyDescent="0.2">
      <c r="A22" s="3" t="s">
        <v>24</v>
      </c>
      <c r="B22" s="3">
        <v>746973.70999999903</v>
      </c>
      <c r="C22" s="3">
        <v>0</v>
      </c>
      <c r="D22" s="3">
        <v>1372458.51</v>
      </c>
      <c r="E22" s="3">
        <v>1282359.28</v>
      </c>
      <c r="F22" s="3">
        <v>837072.93999999948</v>
      </c>
      <c r="G22" s="3">
        <v>0</v>
      </c>
    </row>
    <row r="23" spans="1:8" x14ac:dyDescent="0.2">
      <c r="A23" s="3" t="s">
        <v>25</v>
      </c>
      <c r="B23" s="3">
        <v>22422.619999999995</v>
      </c>
      <c r="C23" s="3">
        <v>0</v>
      </c>
      <c r="D23" s="3">
        <v>41192.29</v>
      </c>
      <c r="E23" s="3">
        <v>38517.29</v>
      </c>
      <c r="F23" s="3">
        <v>25097.619999999995</v>
      </c>
      <c r="G23" s="3">
        <v>0</v>
      </c>
    </row>
    <row r="24" spans="1:8" x14ac:dyDescent="0.2">
      <c r="A24" s="3" t="s">
        <v>26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</row>
    <row r="25" spans="1:8" x14ac:dyDescent="0.2">
      <c r="A25" s="3" t="s">
        <v>27</v>
      </c>
      <c r="B25" s="3">
        <v>108488233.5599999</v>
      </c>
      <c r="C25" s="3">
        <v>108488233.55999996</v>
      </c>
      <c r="D25" s="3">
        <v>493917547.35999995</v>
      </c>
      <c r="E25" s="3">
        <v>493917547.35999995</v>
      </c>
      <c r="F25" s="3">
        <v>112737452.5999998</v>
      </c>
      <c r="G25" s="3">
        <v>112737452.6000001</v>
      </c>
    </row>
    <row r="26" spans="1:8" x14ac:dyDescent="0.2">
      <c r="A26" s="3" t="s">
        <v>28</v>
      </c>
      <c r="B26" s="3" t="s">
        <v>32</v>
      </c>
      <c r="C26" s="3">
        <v>-3256657.0500000236</v>
      </c>
      <c r="D26" s="3" t="s">
        <v>33</v>
      </c>
      <c r="E26" s="3">
        <f>SUM(G18:G24)-SUM(F18:F24)</f>
        <v>-462519.70999980904</v>
      </c>
      <c r="F26" s="3"/>
      <c r="G26" s="3"/>
    </row>
    <row r="27" spans="1:8" x14ac:dyDescent="0.2">
      <c r="A27" s="2"/>
      <c r="B27" s="3"/>
      <c r="C27" s="3"/>
      <c r="D27" s="3"/>
      <c r="E27" s="3"/>
      <c r="F27" s="3"/>
      <c r="G27" s="3"/>
    </row>
    <row r="28" spans="1:8" x14ac:dyDescent="0.2">
      <c r="A28" s="2" t="s">
        <v>29</v>
      </c>
      <c r="B28" s="3">
        <f>E20-D20</f>
        <v>0</v>
      </c>
      <c r="C28" s="3"/>
      <c r="D28" s="3"/>
      <c r="E28" s="3"/>
      <c r="F28" s="3"/>
      <c r="G28" s="3"/>
    </row>
    <row r="29" spans="1:8" x14ac:dyDescent="0.2">
      <c r="A29" s="4" t="s">
        <v>30</v>
      </c>
      <c r="B29" s="5">
        <f>E21-D21</f>
        <v>-3550377.8500000238</v>
      </c>
      <c r="C29" s="3"/>
      <c r="D29" s="3"/>
      <c r="E29" s="3"/>
      <c r="F29" s="3"/>
      <c r="G29" s="3"/>
    </row>
    <row r="30" spans="1:8" x14ac:dyDescent="0.2">
      <c r="A30" s="2" t="s">
        <v>31</v>
      </c>
      <c r="B30" s="3">
        <f>H16</f>
        <v>100935453.11</v>
      </c>
      <c r="C30" s="3"/>
      <c r="D30" s="3"/>
      <c r="E30" s="3"/>
      <c r="F30" s="3"/>
      <c r="G30" s="3"/>
    </row>
  </sheetData>
  <pageMargins left="0.45" right="0" top="0.75" bottom="0.75" header="0.3" footer="0.3"/>
  <pageSetup paperSize="9" scale="9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Denali Prestige Asset Management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Ratchadaporn Wongsawan</dc:creator>
  <cp:lastModifiedBy>Omn P.</cp:lastModifiedBy>
  <cp:lastPrinted>2023-10-02T07:29:11Z</cp:lastPrinted>
  <dcterms:created xsi:type="dcterms:W3CDTF">2023-10-02T07:26:20Z</dcterms:created>
  <dcterms:modified xsi:type="dcterms:W3CDTF">2026-05-07T04:30:50Z</dcterms:modified>
</cp:coreProperties>
</file>